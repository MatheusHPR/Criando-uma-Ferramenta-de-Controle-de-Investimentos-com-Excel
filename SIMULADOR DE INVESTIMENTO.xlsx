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ile\Desktop\Santander Excel com IA 2025\4 - Criando uma Ferramenta de Controle de Investimentos com Excel\"/>
    </mc:Choice>
  </mc:AlternateContent>
  <xr:revisionPtr revIDLastSave="0" documentId="13_ncr:1_{E857E555-CBC0-4AA8-8149-9EED2DAA7700}" xr6:coauthVersionLast="47" xr6:coauthVersionMax="47" xr10:uidLastSave="{00000000-0000-0000-0000-000000000000}"/>
  <bookViews>
    <workbookView xWindow="-108" yWindow="-108" windowWidth="23256" windowHeight="12456" xr2:uid="{1424E8A5-F254-4962-B6EA-A2DFEA8CB391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C36" i="1"/>
  <c r="G4" i="2"/>
  <c r="A4" i="2"/>
  <c r="A5" i="2"/>
  <c r="A6" i="2"/>
  <c r="A7" i="2"/>
  <c r="A8" i="2"/>
  <c r="A9" i="2"/>
  <c r="A10" i="2"/>
  <c r="A11" i="2"/>
  <c r="A12" i="2"/>
  <c r="A13" i="2"/>
  <c r="A14" i="2"/>
  <c r="A15" i="2"/>
  <c r="C37" i="1" s="1"/>
  <c r="A16" i="2"/>
  <c r="A17" i="2"/>
  <c r="A18" i="2"/>
  <c r="A19" i="2"/>
  <c r="A20" i="2"/>
  <c r="A3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7" i="1" l="1"/>
  <c r="D36" i="1"/>
  <c r="C39" i="1"/>
  <c r="D39" i="1" s="1"/>
  <c r="D38" i="1"/>
  <c r="C41" i="1"/>
  <c r="D41" i="1" s="1"/>
  <c r="C40" i="1"/>
  <c r="D40" i="1" s="1"/>
  <c r="D42" i="1" l="1"/>
</calcChain>
</file>

<file path=xl/sharedStrings.xml><?xml version="1.0" encoding="utf-8"?>
<sst xmlns="http://schemas.openxmlformats.org/spreadsheetml/2006/main" count="72" uniqueCount="35">
  <si>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</si>
  <si>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</si>
  <si>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</si>
  <si>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</si>
  <si>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</si>
  <si>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</si>
  <si>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</si>
  <si>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</si>
  <si>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</si>
  <si>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</si>
  <si>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</si>
  <si>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</si>
  <si>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</si>
  <si>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</si>
  <si>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</si>
  <si>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CONFIGURAÇÕES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</si>
  <si>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</si>
  <si>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</si>
  <si>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</si>
  <si>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</si>
  <si>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</si>
  <si>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</si>
  <si>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</si>
  <si>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</si>
  <si>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</si>
  <si>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</si>
  <si>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</si>
  <si>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</t>
  </si>
  <si>
    <t>PERFIL</t>
  </si>
  <si>
    <t>PERCENTUAL</t>
  </si>
  <si>
    <t>CHAVE</t>
  </si>
  <si>
    <t>Moderado</t>
  </si>
  <si>
    <t>Moderado-TIJOLO</t>
  </si>
  <si>
    <t>Agressivo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</si>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</sst>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5" fillId="2" borderId="2" xfId="0" applyFont="1" applyFill="1" applyBorder="1" applyAlignment="1">
      <alignment horizontal="center" vertical="center"/>
    </xf>
    <xf numFmtId="8" fontId="0" fillId="3" borderId="5" xfId="0" applyNumberFormat="1" applyFill="1" applyBorder="1" applyAlignment="1">
      <alignment horizontal="center" vertical="center"/>
    </xf>
    <xf numFmtId="8" fontId="0" fillId="3" borderId="8" xfId="0" applyNumberFormat="1" applyFill="1" applyBorder="1" applyAlignment="1">
      <alignment horizontal="center" vertical="center"/>
    </xf>
    <xf numFmtId="8" fontId="0" fillId="3" borderId="10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8" fontId="0" fillId="3" borderId="6" xfId="0" applyNumberFormat="1" applyFill="1" applyBorder="1" applyAlignment="1">
      <alignment horizontal="center" vertical="center"/>
    </xf>
    <xf numFmtId="8" fontId="0" fillId="3" borderId="1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3"/>
    </xf>
    <xf numFmtId="0" fontId="9" fillId="3" borderId="7" xfId="0" applyFont="1" applyFill="1" applyBorder="1" applyAlignment="1">
      <alignment horizontal="left" vertical="center" indent="3"/>
    </xf>
    <xf numFmtId="0" fontId="9" fillId="3" borderId="9" xfId="0" applyFont="1" applyFill="1" applyBorder="1" applyAlignment="1">
      <alignment horizontal="left" vertical="center" indent="3"/>
    </xf>
    <xf numFmtId="0" fontId="10" fillId="0" borderId="12" xfId="0" applyFont="1" applyBorder="1" applyAlignment="1">
      <alignment horizontal="left" vertical="center" indent="3"/>
    </xf>
    <xf numFmtId="0" fontId="10" fillId="0" borderId="13" xfId="0" applyFont="1" applyBorder="1" applyAlignment="1">
      <alignment horizontal="left" vertical="center" indent="3"/>
    </xf>
    <xf numFmtId="165" fontId="2" fillId="0" borderId="14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indent="3"/>
    </xf>
    <xf numFmtId="0" fontId="10" fillId="0" borderId="16" xfId="0" applyFont="1" applyBorder="1" applyAlignment="1">
      <alignment horizontal="left" vertical="center" indent="3"/>
    </xf>
    <xf numFmtId="0" fontId="2" fillId="0" borderId="17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11" fillId="3" borderId="15" xfId="0" applyFont="1" applyFill="1" applyBorder="1" applyAlignment="1">
      <alignment horizontal="left" vertical="center" indent="3"/>
    </xf>
    <xf numFmtId="0" fontId="11" fillId="3" borderId="16" xfId="0" applyFont="1" applyFill="1" applyBorder="1" applyAlignment="1">
      <alignment horizontal="left" vertical="center" indent="3"/>
    </xf>
    <xf numFmtId="8" fontId="2" fillId="3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 indent="3"/>
    </xf>
    <xf numFmtId="0" fontId="11" fillId="3" borderId="19" xfId="0" applyFont="1" applyFill="1" applyBorder="1" applyAlignment="1">
      <alignment horizontal="left" vertical="center" indent="3"/>
    </xf>
    <xf numFmtId="8" fontId="2" fillId="3" borderId="20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left" vertical="center" indent="3"/>
    </xf>
    <xf numFmtId="0" fontId="9" fillId="3" borderId="22" xfId="0" applyFont="1" applyFill="1" applyBorder="1" applyAlignment="1">
      <alignment horizontal="left" vertical="center" indent="3"/>
    </xf>
    <xf numFmtId="165" fontId="0" fillId="0" borderId="23" xfId="1" applyNumberFormat="1" applyFont="1" applyBorder="1" applyAlignment="1">
      <alignment horizontal="center" vertical="center"/>
    </xf>
    <xf numFmtId="0" fontId="9" fillId="3" borderId="24" xfId="0" applyFont="1" applyFill="1" applyBorder="1" applyAlignment="1">
      <alignment horizontal="left" vertical="center" indent="3"/>
    </xf>
    <xf numFmtId="0" fontId="9" fillId="3" borderId="25" xfId="0" applyFont="1" applyFill="1" applyBorder="1" applyAlignment="1">
      <alignment horizontal="left" vertical="center" indent="3"/>
    </xf>
    <xf numFmtId="10" fontId="0" fillId="0" borderId="26" xfId="0" applyNumberFormat="1" applyBorder="1" applyAlignment="1">
      <alignment horizontal="center" vertical="center"/>
    </xf>
    <xf numFmtId="0" fontId="9" fillId="3" borderId="27" xfId="0" applyFont="1" applyFill="1" applyBorder="1" applyAlignment="1">
      <alignment horizontal="left" vertical="center" indent="3"/>
    </xf>
    <xf numFmtId="0" fontId="9" fillId="3" borderId="28" xfId="0" applyFont="1" applyFill="1" applyBorder="1" applyAlignment="1">
      <alignment horizontal="left" vertical="center" indent="3"/>
    </xf>
    <xf numFmtId="165" fontId="0" fillId="0" borderId="2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5" borderId="0" xfId="3"/>
    <xf numFmtId="0" fontId="7" fillId="5" borderId="0" xfId="3" applyAlignment="1">
      <alignment horizontal="center" vertical="center"/>
    </xf>
    <xf numFmtId="0" fontId="2" fillId="6" borderId="0" xfId="0" applyFont="1" applyFill="1"/>
    <xf numFmtId="165" fontId="2" fillId="6" borderId="0" xfId="0" applyNumberFormat="1" applyFont="1" applyFill="1" applyAlignment="1">
      <alignment horizontal="center" vertical="center"/>
    </xf>
    <xf numFmtId="0" fontId="2" fillId="3" borderId="0" xfId="0" applyFont="1" applyFill="1"/>
    <xf numFmtId="165" fontId="2" fillId="3" borderId="0" xfId="0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9" fontId="0" fillId="0" borderId="30" xfId="2" applyFon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9" fontId="7" fillId="5" borderId="0" xfId="2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2-44B8-9022-870EC20F1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0</xdr:row>
      <xdr:rowOff>76200</xdr:rowOff>
    </xdr:from>
    <xdr:to>
      <xdr:col>3</xdr:col>
      <xdr:colOff>822960</xdr:colOff>
      <xdr:row>9</xdr:row>
      <xdr:rowOff>8334</xdr:rowOff>
    </xdr:to>
    <xdr:pic>
      <xdr:nvPicPr>
        <xdr:cNvPr id="2" name="Imagem 1" descr="5 melhores investimentos de curto prazo para 2026: onde aplicar com  segurança">
          <a:extLst>
            <a:ext uri="{FF2B5EF4-FFF2-40B4-BE49-F238E27FC236}">
              <a16:creationId xmlns:a16="http://schemas.microsoft.com/office/drawing/2014/main" id="{CA6DC7A8-3404-74A9-D1FB-E0AAC1AD0B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29" b="7152"/>
        <a:stretch/>
      </xdr:blipFill>
      <xdr:spPr bwMode="auto">
        <a:xfrm>
          <a:off x="617220" y="76200"/>
          <a:ext cx="5036820" cy="1578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140970</xdr:colOff>
      <xdr:row>42</xdr:row>
      <xdr:rowOff>129540</xdr:rowOff>
    </xdr:from>
    <xdr:to>
      <xdr:col>3</xdr:col>
      <xdr:colOff>491490</xdr:colOff>
      <xdr:row>57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234316-B1F6-2D8C-4EEB-15DCAE83F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5658-878C-4C89-A7D2-F375A1A433CD}">
  <dimension ref="A10:H62"/>
  <sheetViews>
    <sheetView showGridLines="0" tabSelected="1" workbookViewId="0">
      <selection activeCell="C42" sqref="C42"/>
    </sheetView>
  </sheetViews>
  <sheetFormatPr defaultColWidth="0" defaultRowHeight="14.4" x14ac:dyDescent="0.3"/>
  <cols>
    <col min="1" max="1" width="8.88671875" customWidth="1"/>
    <col min="2" max="3" width="30.77734375" customWidth="1"/>
    <col min="4" max="4" width="13.88671875" customWidth="1"/>
    <col min="5" max="8" width="5.77734375" customWidth="1"/>
    <col min="9" max="11" width="8.88671875" hidden="1" customWidth="1"/>
    <col min="12" max="16384" width="8.88671875" hidden="1"/>
  </cols>
  <sheetData>
    <row r="10" spans="2:4" ht="15" thickBot="1" x14ac:dyDescent="0.35"/>
    <row r="11" spans="2:4" ht="21" x14ac:dyDescent="0.3">
      <c r="B11" s="11" t="s">
        <v>15</v>
      </c>
      <c r="C11" s="12"/>
      <c r="D11" s="14"/>
    </row>
    <row r="12" spans="2:4" ht="16.2" thickBot="1" x14ac:dyDescent="0.35">
      <c r="B12" s="32" t="s">
        <v>14</v>
      </c>
      <c r="C12" s="33"/>
      <c r="D12" s="34">
        <v>4200</v>
      </c>
    </row>
    <row r="13" spans="2:4" ht="16.2" thickBot="1" x14ac:dyDescent="0.35">
      <c r="B13" s="35" t="s">
        <v>13</v>
      </c>
      <c r="C13" s="36"/>
      <c r="D13" s="37">
        <v>6.0000000000000001E-3</v>
      </c>
    </row>
    <row r="14" spans="2:4" ht="16.2" thickBot="1" x14ac:dyDescent="0.35">
      <c r="B14" s="38" t="s">
        <v>34</v>
      </c>
      <c r="C14" s="39"/>
      <c r="D14" s="40">
        <f>D12*30%</f>
        <v>1260</v>
      </c>
    </row>
    <row r="15" spans="2:4" ht="15" thickBot="1" x14ac:dyDescent="0.35"/>
    <row r="16" spans="2:4" ht="30.6" customHeight="1" x14ac:dyDescent="0.3">
      <c r="B16" s="10" t="s">
        <v>5</v>
      </c>
      <c r="C16" s="13"/>
      <c r="D16" s="15"/>
    </row>
    <row r="17" spans="1:4" ht="16.2" thickBot="1" x14ac:dyDescent="0.35">
      <c r="B17" s="19" t="s">
        <v>0</v>
      </c>
      <c r="C17" s="20"/>
      <c r="D17" s="21">
        <v>1260</v>
      </c>
    </row>
    <row r="18" spans="1:4" ht="16.2" thickBot="1" x14ac:dyDescent="0.35">
      <c r="B18" s="22" t="s">
        <v>1</v>
      </c>
      <c r="C18" s="23"/>
      <c r="D18" s="24">
        <v>10</v>
      </c>
    </row>
    <row r="19" spans="1:4" ht="16.2" thickBot="1" x14ac:dyDescent="0.35">
      <c r="B19" s="22" t="s">
        <v>2</v>
      </c>
      <c r="C19" s="23"/>
      <c r="D19" s="25">
        <v>1.0789999999999999E-2</v>
      </c>
    </row>
    <row r="20" spans="1:4" ht="16.2" thickBot="1" x14ac:dyDescent="0.35">
      <c r="B20" s="26" t="s">
        <v>3</v>
      </c>
      <c r="C20" s="27"/>
      <c r="D20" s="28">
        <f>FV(taxa_mensal,qtd_anos*12,aporte*(-1))</f>
        <v>306538.10778801696</v>
      </c>
    </row>
    <row r="21" spans="1:4" ht="16.2" thickBot="1" x14ac:dyDescent="0.35">
      <c r="B21" s="29" t="s">
        <v>4</v>
      </c>
      <c r="C21" s="30"/>
      <c r="D21" s="31">
        <f>patrimonio*rendimento_carteira</f>
        <v>1839.2286467281017</v>
      </c>
    </row>
    <row r="22" spans="1:4" ht="15" thickBot="1" x14ac:dyDescent="0.35"/>
    <row r="23" spans="1:4" ht="25.8" x14ac:dyDescent="0.3">
      <c r="B23" s="6" t="s">
        <v>11</v>
      </c>
      <c r="C23" s="7"/>
      <c r="D23" s="2" t="s">
        <v>12</v>
      </c>
    </row>
    <row r="24" spans="1:4" ht="15.6" x14ac:dyDescent="0.3">
      <c r="A24" s="1">
        <v>2</v>
      </c>
      <c r="B24" s="16" t="s">
        <v>6</v>
      </c>
      <c r="C24" s="3">
        <f>FV($D$19,$A24*12,-$D$17)</f>
        <v>34306.810395032975</v>
      </c>
      <c r="D24" s="8">
        <f>C24*rendimento_carteira</f>
        <v>205.84086237019787</v>
      </c>
    </row>
    <row r="25" spans="1:4" ht="15.6" x14ac:dyDescent="0.3">
      <c r="A25" s="1">
        <v>5</v>
      </c>
      <c r="B25" s="17" t="s">
        <v>7</v>
      </c>
      <c r="C25" s="4">
        <f>FV($D$19,$A25*12,-$D$17)</f>
        <v>105558.91163809443</v>
      </c>
      <c r="D25" s="8">
        <f>C25*rendimento_carteira</f>
        <v>633.35346982856663</v>
      </c>
    </row>
    <row r="26" spans="1:4" ht="15.6" x14ac:dyDescent="0.3">
      <c r="A26" s="1">
        <v>10</v>
      </c>
      <c r="B26" s="17" t="s">
        <v>8</v>
      </c>
      <c r="C26" s="4">
        <f>FV($D$19,$A26*12,-$D$17)</f>
        <v>306538.10778801696</v>
      </c>
      <c r="D26" s="8">
        <f>C26*rendimento_carteira</f>
        <v>1839.2286467281017</v>
      </c>
    </row>
    <row r="27" spans="1:4" ht="15.6" x14ac:dyDescent="0.3">
      <c r="A27" s="1">
        <v>20</v>
      </c>
      <c r="B27" s="17" t="s">
        <v>9</v>
      </c>
      <c r="C27" s="4">
        <f>FV($D$19,$A27*12,-$D$17)</f>
        <v>1417749.9841223215</v>
      </c>
      <c r="D27" s="8">
        <f>C27*rendimento_carteira</f>
        <v>8506.4999047339297</v>
      </c>
    </row>
    <row r="28" spans="1:4" ht="16.2" thickBot="1" x14ac:dyDescent="0.35">
      <c r="A28" s="1">
        <v>30</v>
      </c>
      <c r="B28" s="18" t="s">
        <v>10</v>
      </c>
      <c r="C28" s="5">
        <f>FV($D$19,$A28*12,-$D$17)</f>
        <v>5445933.7653059401</v>
      </c>
      <c r="D28" s="9">
        <f>C28*rendimento_carteira</f>
        <v>32675.602591835643</v>
      </c>
    </row>
    <row r="32" spans="1:4" x14ac:dyDescent="0.3">
      <c r="B32" s="43" t="s">
        <v>16</v>
      </c>
      <c r="C32" s="44" t="s">
        <v>31</v>
      </c>
      <c r="D32" s="43"/>
    </row>
    <row r="33" spans="2:4" x14ac:dyDescent="0.3">
      <c r="B33" s="47" t="s">
        <v>18</v>
      </c>
      <c r="C33" s="48">
        <f>aporte</f>
        <v>1260</v>
      </c>
      <c r="D33" s="47"/>
    </row>
    <row r="35" spans="2:4" x14ac:dyDescent="0.3">
      <c r="B35" s="50" t="s">
        <v>19</v>
      </c>
      <c r="C35" s="50" t="s">
        <v>20</v>
      </c>
      <c r="D35" s="50" t="s">
        <v>21</v>
      </c>
    </row>
    <row r="36" spans="2:4" x14ac:dyDescent="0.3">
      <c r="B36" s="41" t="s">
        <v>22</v>
      </c>
      <c r="C36" s="49">
        <f>VLOOKUP($C$32&amp;"-"&amp;B36,Planilha2!A:D,4,FALSE)</f>
        <v>0.32</v>
      </c>
      <c r="D36" s="42">
        <f>C36*$C$33</f>
        <v>403.2</v>
      </c>
    </row>
    <row r="37" spans="2:4" x14ac:dyDescent="0.3">
      <c r="B37" s="41" t="s">
        <v>23</v>
      </c>
      <c r="C37" s="49">
        <f>VLOOKUP($C$32&amp;"-"&amp;B37,Planilha2!A:D,4,FALSE)</f>
        <v>0.35</v>
      </c>
      <c r="D37" s="42">
        <f t="shared" ref="D37:D41" si="0">C37*$C$33</f>
        <v>441</v>
      </c>
    </row>
    <row r="38" spans="2:4" x14ac:dyDescent="0.3">
      <c r="B38" s="41" t="s">
        <v>24</v>
      </c>
      <c r="C38" s="49">
        <f>VLOOKUP($C$32&amp;"-"&amp;B38,Planilha2!A:D,4,FALSE)</f>
        <v>0.08</v>
      </c>
      <c r="D38" s="42">
        <f t="shared" si="0"/>
        <v>100.8</v>
      </c>
    </row>
    <row r="39" spans="2:4" x14ac:dyDescent="0.3">
      <c r="B39" s="41" t="s">
        <v>25</v>
      </c>
      <c r="C39" s="49">
        <f>VLOOKUP($C$32&amp;"-"&amp;B39,Planilha2!A:D,4,FALSE)</f>
        <v>0.05</v>
      </c>
      <c r="D39" s="42">
        <f t="shared" si="0"/>
        <v>63</v>
      </c>
    </row>
    <row r="40" spans="2:4" x14ac:dyDescent="0.3">
      <c r="B40" s="41" t="s">
        <v>26</v>
      </c>
      <c r="C40" s="49">
        <f>VLOOKUP($C$32&amp;"-"&amp;B40,Planilha2!A:D,4,FALSE)</f>
        <v>0.1</v>
      </c>
      <c r="D40" s="42">
        <f t="shared" si="0"/>
        <v>126</v>
      </c>
    </row>
    <row r="41" spans="2:4" x14ac:dyDescent="0.3">
      <c r="B41" s="41" t="s">
        <v>27</v>
      </c>
      <c r="C41" s="49">
        <f>VLOOKUP($C$32&amp;"-"&amp;B41,Planilha2!A:D,4,FALSE)</f>
        <v>0.1</v>
      </c>
      <c r="D41" s="42">
        <f t="shared" si="0"/>
        <v>126</v>
      </c>
    </row>
    <row r="42" spans="2:4" x14ac:dyDescent="0.3">
      <c r="B42" s="45"/>
      <c r="C42" s="45"/>
      <c r="D42" s="46">
        <f>SUM(D36:D41)</f>
        <v>1260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</sheetData>
  <mergeCells count="11"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  <mergeCell ref="B16:D16"/>
  </mergeCells>
  <dataValidations count="1">
    <dataValidation type="list" allowBlank="1" showInputMessage="1" showErrorMessage="1" sqref="C32" xr:uid="{0241CB3D-B7C6-4E4C-A388-AA90841047CB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6BBD-EA1C-4E9A-BBF3-C4E44C2E1656}">
  <dimension ref="A2:G20"/>
  <sheetViews>
    <sheetView workbookViewId="0">
      <selection activeCell="B10" sqref="B10"/>
    </sheetView>
  </sheetViews>
  <sheetFormatPr defaultRowHeight="14.4" x14ac:dyDescent="0.3"/>
  <cols>
    <col min="1" max="1" width="28.77734375" style="41" bestFit="1" customWidth="1"/>
    <col min="2" max="2" width="13.6640625" style="41" customWidth="1"/>
    <col min="3" max="3" width="17.6640625" style="41" bestFit="1" customWidth="1"/>
    <col min="4" max="4" width="11.88671875" style="41" bestFit="1" customWidth="1"/>
    <col min="6" max="7" width="17.77734375" style="41" customWidth="1"/>
  </cols>
  <sheetData>
    <row r="2" spans="1:7" x14ac:dyDescent="0.3">
      <c r="A2" s="58" t="s">
        <v>30</v>
      </c>
      <c r="B2" s="58" t="s">
        <v>28</v>
      </c>
      <c r="C2" s="58" t="s">
        <v>19</v>
      </c>
      <c r="D2" s="58" t="s">
        <v>29</v>
      </c>
    </row>
    <row r="3" spans="1:7" x14ac:dyDescent="0.3">
      <c r="A3" s="41" t="str">
        <f>B3&amp;"-"&amp;C3</f>
        <v>Conservador-PAPEL</v>
      </c>
      <c r="B3" s="41" t="s">
        <v>17</v>
      </c>
      <c r="C3" s="41" t="s">
        <v>22</v>
      </c>
      <c r="D3" s="51">
        <v>0.3</v>
      </c>
      <c r="F3" s="41" t="s">
        <v>30</v>
      </c>
      <c r="G3" s="41" t="s">
        <v>29</v>
      </c>
    </row>
    <row r="4" spans="1:7" x14ac:dyDescent="0.3">
      <c r="A4" s="41" t="str">
        <f t="shared" ref="A4:A20" si="0">B4&amp;"-"&amp;C4</f>
        <v>Conservador-TIJOLO</v>
      </c>
      <c r="B4" s="41" t="s">
        <v>17</v>
      </c>
      <c r="C4" s="41" t="s">
        <v>23</v>
      </c>
      <c r="D4" s="51">
        <v>0.5</v>
      </c>
      <c r="F4" s="44" t="s">
        <v>32</v>
      </c>
      <c r="G4" s="57">
        <f>VLOOKUP(F4,A:D,4,FALSE)</f>
        <v>0.35</v>
      </c>
    </row>
    <row r="5" spans="1:7" x14ac:dyDescent="0.3">
      <c r="A5" s="41" t="str">
        <f t="shared" si="0"/>
        <v>Conservador-HÍBRIDO</v>
      </c>
      <c r="B5" s="41" t="s">
        <v>17</v>
      </c>
      <c r="C5" s="41" t="s">
        <v>24</v>
      </c>
      <c r="D5" s="51">
        <v>0.1</v>
      </c>
    </row>
    <row r="6" spans="1:7" x14ac:dyDescent="0.3">
      <c r="A6" s="41" t="str">
        <f t="shared" si="0"/>
        <v>Conservador-FOFs</v>
      </c>
      <c r="B6" s="41" t="s">
        <v>17</v>
      </c>
      <c r="C6" s="41" t="s">
        <v>25</v>
      </c>
      <c r="D6" s="51">
        <v>0.1</v>
      </c>
    </row>
    <row r="7" spans="1:7" x14ac:dyDescent="0.3">
      <c r="A7" s="41" t="str">
        <f t="shared" si="0"/>
        <v>Conservador-DESENVOLVIMENTO</v>
      </c>
      <c r="B7" s="41" t="s">
        <v>17</v>
      </c>
      <c r="C7" s="41" t="s">
        <v>26</v>
      </c>
      <c r="D7" s="51">
        <v>0</v>
      </c>
    </row>
    <row r="8" spans="1:7" ht="15" thickBot="1" x14ac:dyDescent="0.35">
      <c r="A8" s="52" t="str">
        <f t="shared" si="0"/>
        <v>Conservador-HOTELARIA</v>
      </c>
      <c r="B8" s="52" t="s">
        <v>17</v>
      </c>
      <c r="C8" s="52" t="s">
        <v>27</v>
      </c>
      <c r="D8" s="53">
        <v>0</v>
      </c>
    </row>
    <row r="9" spans="1:7" x14ac:dyDescent="0.3">
      <c r="A9" s="41" t="str">
        <f t="shared" si="0"/>
        <v>Moderado-PAPEL</v>
      </c>
      <c r="B9" s="41" t="s">
        <v>31</v>
      </c>
      <c r="C9" s="41" t="s">
        <v>22</v>
      </c>
      <c r="D9" s="49">
        <v>0.32</v>
      </c>
    </row>
    <row r="10" spans="1:7" x14ac:dyDescent="0.3">
      <c r="A10" s="55" t="str">
        <f t="shared" si="0"/>
        <v>Moderado-TIJOLO</v>
      </c>
      <c r="B10" s="55" t="s">
        <v>31</v>
      </c>
      <c r="C10" s="55" t="s">
        <v>23</v>
      </c>
      <c r="D10" s="56">
        <v>0.35</v>
      </c>
    </row>
    <row r="11" spans="1:7" x14ac:dyDescent="0.3">
      <c r="A11" s="41" t="str">
        <f t="shared" si="0"/>
        <v>Moderado-HÍBRIDO</v>
      </c>
      <c r="B11" s="41" t="s">
        <v>31</v>
      </c>
      <c r="C11" s="41" t="s">
        <v>24</v>
      </c>
      <c r="D11" s="49">
        <v>0.08</v>
      </c>
    </row>
    <row r="12" spans="1:7" x14ac:dyDescent="0.3">
      <c r="A12" s="41" t="str">
        <f t="shared" si="0"/>
        <v>Moderado-FOFs</v>
      </c>
      <c r="B12" s="41" t="s">
        <v>31</v>
      </c>
      <c r="C12" s="41" t="s">
        <v>25</v>
      </c>
      <c r="D12" s="49">
        <v>0.05</v>
      </c>
    </row>
    <row r="13" spans="1:7" x14ac:dyDescent="0.3">
      <c r="A13" s="41" t="str">
        <f t="shared" si="0"/>
        <v>Moderado-DESENVOLVIMENTO</v>
      </c>
      <c r="B13" s="41" t="s">
        <v>31</v>
      </c>
      <c r="C13" s="41" t="s">
        <v>26</v>
      </c>
      <c r="D13" s="49">
        <v>0.1</v>
      </c>
    </row>
    <row r="14" spans="1:7" ht="15" thickBot="1" x14ac:dyDescent="0.35">
      <c r="A14" s="52" t="str">
        <f t="shared" si="0"/>
        <v>Moderado-HOTELARIA</v>
      </c>
      <c r="B14" s="52" t="s">
        <v>31</v>
      </c>
      <c r="C14" s="52" t="s">
        <v>27</v>
      </c>
      <c r="D14" s="54">
        <v>0.1</v>
      </c>
    </row>
    <row r="15" spans="1:7" x14ac:dyDescent="0.3">
      <c r="A15" s="41" t="str">
        <f t="shared" si="0"/>
        <v>Agressivo-PAPEL</v>
      </c>
      <c r="B15" s="41" t="s">
        <v>33</v>
      </c>
      <c r="C15" s="41" t="s">
        <v>22</v>
      </c>
      <c r="D15" s="49">
        <v>0.5</v>
      </c>
    </row>
    <row r="16" spans="1:7" x14ac:dyDescent="0.3">
      <c r="A16" s="41" t="str">
        <f t="shared" si="0"/>
        <v>Agressivo-TIJOLO</v>
      </c>
      <c r="B16" s="41" t="s">
        <v>33</v>
      </c>
      <c r="C16" s="41" t="s">
        <v>23</v>
      </c>
      <c r="D16" s="49">
        <v>0.1</v>
      </c>
    </row>
    <row r="17" spans="1:4" x14ac:dyDescent="0.3">
      <c r="A17" s="41" t="str">
        <f t="shared" si="0"/>
        <v>Agressivo-HÍBRIDO</v>
      </c>
      <c r="B17" s="41" t="s">
        <v>33</v>
      </c>
      <c r="C17" s="41" t="s">
        <v>24</v>
      </c>
      <c r="D17" s="49">
        <v>0.05</v>
      </c>
    </row>
    <row r="18" spans="1:4" x14ac:dyDescent="0.3">
      <c r="A18" s="41" t="str">
        <f t="shared" si="0"/>
        <v>Agressivo-FOFs</v>
      </c>
      <c r="B18" s="41" t="s">
        <v>33</v>
      </c>
      <c r="C18" s="41" t="s">
        <v>25</v>
      </c>
      <c r="D18" s="49">
        <v>0.05</v>
      </c>
    </row>
    <row r="19" spans="1:4" x14ac:dyDescent="0.3">
      <c r="A19" s="41" t="str">
        <f t="shared" si="0"/>
        <v>Agressivo-DESENVOLVIMENTO</v>
      </c>
      <c r="B19" s="41" t="s">
        <v>33</v>
      </c>
      <c r="C19" s="41" t="s">
        <v>26</v>
      </c>
      <c r="D19" s="49">
        <v>0.2</v>
      </c>
    </row>
    <row r="20" spans="1:4" x14ac:dyDescent="0.3">
      <c r="A20" s="41" t="str">
        <f t="shared" si="0"/>
        <v>Agressivo-HOTELARIA</v>
      </c>
      <c r="B20" s="41" t="s">
        <v>33</v>
      </c>
      <c r="C20" s="41" t="s">
        <v>27</v>
      </c>
      <c r="D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Heloiza</dc:creator>
  <cp:lastModifiedBy>Matheus Heloiza</cp:lastModifiedBy>
  <dcterms:created xsi:type="dcterms:W3CDTF">2026-01-27T01:31:32Z</dcterms:created>
  <dcterms:modified xsi:type="dcterms:W3CDTF">2026-01-28T01:10:52Z</dcterms:modified>
</cp:coreProperties>
</file>